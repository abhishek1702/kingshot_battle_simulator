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bhis\Desktop\Kingshot\test\codes\battle files\battle\"/>
    </mc:Choice>
  </mc:AlternateContent>
  <xr:revisionPtr revIDLastSave="0" documentId="13_ncr:1_{4E3D180C-A5E2-4F0A-A97A-CFE3CC0A1E9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Formul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1" l="1"/>
  <c r="B46" i="1"/>
  <c r="B45" i="1"/>
  <c r="T45" i="1"/>
  <c r="X45" i="1" s="1"/>
  <c r="C45" i="1"/>
  <c r="V45" i="1"/>
  <c r="U45" i="1"/>
  <c r="B44" i="1"/>
  <c r="V30" i="1"/>
  <c r="U30" i="1"/>
  <c r="B30" i="1"/>
  <c r="T30" i="1"/>
  <c r="V15" i="1"/>
  <c r="T15" i="1"/>
  <c r="C30" i="1"/>
  <c r="C31" i="1"/>
  <c r="B31" i="1"/>
  <c r="B16" i="1"/>
  <c r="B3" i="1"/>
  <c r="U15" i="1" s="1"/>
  <c r="B29" i="1"/>
  <c r="B14" i="1"/>
  <c r="K7" i="2"/>
  <c r="K11" i="2"/>
  <c r="K12" i="2"/>
  <c r="K13" i="2"/>
  <c r="K14" i="2"/>
  <c r="K4" i="2"/>
  <c r="L6" i="2"/>
  <c r="L7" i="2"/>
  <c r="L12" i="2"/>
  <c r="L13" i="2"/>
  <c r="H5" i="2"/>
  <c r="H6" i="2"/>
  <c r="H7" i="2"/>
  <c r="H8" i="2"/>
  <c r="H9" i="2"/>
  <c r="H10" i="2"/>
  <c r="H11" i="2"/>
  <c r="H12" i="2"/>
  <c r="H13" i="2"/>
  <c r="H14" i="2"/>
  <c r="H4" i="2"/>
  <c r="G5" i="2"/>
  <c r="G6" i="2"/>
  <c r="G7" i="2"/>
  <c r="G8" i="2"/>
  <c r="G9" i="2"/>
  <c r="G10" i="2"/>
  <c r="G11" i="2"/>
  <c r="G12" i="2"/>
  <c r="G13" i="2"/>
  <c r="G14" i="2"/>
  <c r="G4" i="2"/>
  <c r="X15" i="1" l="1"/>
  <c r="R46" i="1"/>
  <c r="R45" i="1"/>
  <c r="X30" i="1"/>
  <c r="C16" i="1"/>
  <c r="R16" i="1" s="1"/>
  <c r="C15" i="1"/>
  <c r="B15" i="1"/>
  <c r="R31" i="1"/>
  <c r="R30" i="1"/>
  <c r="C33" i="1" s="1"/>
  <c r="B33" i="1" l="1"/>
  <c r="B35" i="1" s="1"/>
  <c r="C48" i="1"/>
  <c r="B48" i="1"/>
  <c r="B50" i="1" s="1"/>
  <c r="B49" i="1"/>
  <c r="R48" i="1"/>
  <c r="R15" i="1"/>
  <c r="B18" i="1" s="1"/>
  <c r="B19" i="1" s="1"/>
  <c r="C35" i="1"/>
  <c r="C18" i="1" l="1"/>
  <c r="R18" i="1" s="1"/>
  <c r="C49" i="1"/>
  <c r="R49" i="1" s="1"/>
  <c r="C50" i="1"/>
  <c r="R50" i="1" s="1"/>
  <c r="C19" i="1"/>
  <c r="R19" i="1" s="1"/>
  <c r="B34" i="1"/>
  <c r="R33" i="1"/>
  <c r="C34" i="1"/>
  <c r="B20" i="1"/>
  <c r="C20" i="1"/>
  <c r="R35" i="1"/>
  <c r="R20" i="1" l="1"/>
  <c r="R34" i="1"/>
</calcChain>
</file>

<file path=xl/sharedStrings.xml><?xml version="1.0" encoding="utf-8"?>
<sst xmlns="http://schemas.openxmlformats.org/spreadsheetml/2006/main" count="67" uniqueCount="22">
  <si>
    <t>tier</t>
  </si>
  <si>
    <t>attack</t>
  </si>
  <si>
    <t>def</t>
  </si>
  <si>
    <t>TG level</t>
  </si>
  <si>
    <t>Inf</t>
  </si>
  <si>
    <t>Cav</t>
  </si>
  <si>
    <t>Arch</t>
  </si>
  <si>
    <t>Only for T10</t>
  </si>
  <si>
    <t>Input</t>
  </si>
  <si>
    <t>count</t>
  </si>
  <si>
    <t>TG</t>
  </si>
  <si>
    <t>identifier</t>
  </si>
  <si>
    <t>att_factor</t>
  </si>
  <si>
    <t>def_factor</t>
  </si>
  <si>
    <t>Sa</t>
  </si>
  <si>
    <t>att</t>
  </si>
  <si>
    <t>leth</t>
  </si>
  <si>
    <t>health</t>
  </si>
  <si>
    <t>total</t>
  </si>
  <si>
    <t>weight</t>
  </si>
  <si>
    <t>wt att</t>
  </si>
  <si>
    <t>wt 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</si>
</sst>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8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0" xfId="0" applyNumberFormat="1"/>
    <xf numFmtId="2" fontId="0" fillId="0" borderId="5" xfId="0" applyNumberFormat="1" applyBorder="1"/>
    <xf numFmtId="165" fontId="0" fillId="0" borderId="0" xfId="0" applyNumberFormat="1"/>
    <xf numFmtId="0" fontId="0" fillId="0" borderId="6" xfId="0" applyBorder="1"/>
    <xf numFmtId="165" fontId="0" fillId="0" borderId="7" xfId="0" applyNumberFormat="1" applyBorder="1"/>
    <xf numFmtId="0" fontId="0" fillId="0" borderId="7" xfId="0" applyBorder="1"/>
    <xf numFmtId="9" fontId="0" fillId="0" borderId="0" xfId="1" applyFont="1"/>
    <xf numFmtId="168" fontId="0" fillId="0" borderId="0" xfId="0" applyNumberFormat="1"/>
    <xf numFmtId="168" fontId="0" fillId="0" borderId="5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"/>
  <sheetViews>
    <sheetView tabSelected="1" topLeftCell="A22" zoomScale="115" zoomScaleNormal="115" workbookViewId="0">
      <selection activeCell="H45" sqref="H45"/>
    </sheetView>
  </sheetViews>
  <sheetFormatPr defaultRowHeight="14.4" x14ac:dyDescent="0.3"/>
  <cols>
    <col min="2" max="2" width="7.88671875" bestFit="1" customWidth="1"/>
    <col min="3" max="3" width="12.5546875" bestFit="1" customWidth="1"/>
    <col min="18" max="18" width="11.109375" bestFit="1" customWidth="1"/>
  </cols>
  <sheetData>
    <row r="1" spans="1:24" x14ac:dyDescent="0.3">
      <c r="B1" t="s">
        <v>4</v>
      </c>
      <c r="F1" t="s">
        <v>5</v>
      </c>
      <c r="J1" t="s">
        <v>6</v>
      </c>
    </row>
    <row r="2" spans="1:24" x14ac:dyDescent="0.3">
      <c r="B2" t="s">
        <v>15</v>
      </c>
      <c r="C2" t="s">
        <v>2</v>
      </c>
      <c r="D2" t="s">
        <v>16</v>
      </c>
      <c r="E2" t="s">
        <v>17</v>
      </c>
      <c r="F2" t="s">
        <v>15</v>
      </c>
      <c r="G2" t="s">
        <v>2</v>
      </c>
      <c r="H2" t="s">
        <v>16</v>
      </c>
      <c r="I2" t="s">
        <v>17</v>
      </c>
      <c r="J2" t="s">
        <v>15</v>
      </c>
      <c r="K2" t="s">
        <v>2</v>
      </c>
      <c r="L2" t="s">
        <v>16</v>
      </c>
      <c r="M2" t="s">
        <v>17</v>
      </c>
    </row>
    <row r="3" spans="1:24" x14ac:dyDescent="0.3">
      <c r="A3" t="s">
        <v>14</v>
      </c>
      <c r="B3" s="13">
        <f>9500%/100</f>
        <v>0.95</v>
      </c>
      <c r="C3" s="13">
        <v>0.93</v>
      </c>
      <c r="D3" s="13">
        <v>0.95</v>
      </c>
      <c r="E3" s="13">
        <v>0.93</v>
      </c>
      <c r="F3" s="13">
        <v>0.1</v>
      </c>
      <c r="G3" s="13">
        <v>0.1</v>
      </c>
      <c r="H3" s="13">
        <v>0.1</v>
      </c>
      <c r="I3" s="13">
        <v>0.1</v>
      </c>
      <c r="J3" s="13">
        <v>0.1</v>
      </c>
      <c r="K3" s="13">
        <v>0.1</v>
      </c>
      <c r="L3" s="13">
        <v>0.1</v>
      </c>
      <c r="M3" s="13">
        <v>0.1</v>
      </c>
    </row>
    <row r="5" spans="1:24" x14ac:dyDescent="0.3">
      <c r="A5" s="2"/>
      <c r="B5" s="3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4"/>
    </row>
    <row r="6" spans="1:24" x14ac:dyDescent="0.3">
      <c r="A6" s="5"/>
      <c r="R6" s="6"/>
    </row>
    <row r="7" spans="1:24" x14ac:dyDescent="0.3">
      <c r="A7" s="5"/>
      <c r="B7" t="s">
        <v>4</v>
      </c>
      <c r="R7" s="6"/>
    </row>
    <row r="8" spans="1:24" x14ac:dyDescent="0.3">
      <c r="A8" s="5"/>
      <c r="B8">
        <v>1</v>
      </c>
      <c r="C8">
        <v>2</v>
      </c>
      <c r="D8">
        <v>3</v>
      </c>
      <c r="E8">
        <v>4</v>
      </c>
      <c r="F8">
        <v>5</v>
      </c>
      <c r="G8">
        <v>6</v>
      </c>
      <c r="H8">
        <v>7</v>
      </c>
      <c r="I8">
        <v>8</v>
      </c>
      <c r="J8">
        <v>9</v>
      </c>
      <c r="K8">
        <v>10</v>
      </c>
      <c r="L8">
        <v>11</v>
      </c>
      <c r="M8">
        <v>12</v>
      </c>
      <c r="N8">
        <v>13</v>
      </c>
      <c r="O8">
        <v>14</v>
      </c>
      <c r="P8">
        <v>15</v>
      </c>
      <c r="R8" s="6"/>
    </row>
    <row r="9" spans="1:24" x14ac:dyDescent="0.3">
      <c r="A9" s="5" t="s">
        <v>9</v>
      </c>
      <c r="B9">
        <v>1000</v>
      </c>
      <c r="C9">
        <v>1000</v>
      </c>
      <c r="R9" s="6"/>
    </row>
    <row r="10" spans="1:24" x14ac:dyDescent="0.3">
      <c r="A10" s="5" t="s">
        <v>0</v>
      </c>
      <c r="B10">
        <v>1</v>
      </c>
      <c r="C10">
        <v>2</v>
      </c>
      <c r="R10" s="6"/>
    </row>
    <row r="11" spans="1:24" x14ac:dyDescent="0.3">
      <c r="A11" s="5" t="s">
        <v>10</v>
      </c>
      <c r="B11">
        <v>1</v>
      </c>
      <c r="C11">
        <v>2</v>
      </c>
      <c r="R11" s="6"/>
    </row>
    <row r="12" spans="1:24" x14ac:dyDescent="0.3">
      <c r="A12" s="5" t="s">
        <v>11</v>
      </c>
      <c r="B12">
        <v>1</v>
      </c>
      <c r="C12">
        <v>1</v>
      </c>
      <c r="R12" s="6"/>
    </row>
    <row r="13" spans="1:24" x14ac:dyDescent="0.3">
      <c r="A13" s="5"/>
      <c r="R13" s="6"/>
    </row>
    <row r="14" spans="1:24" x14ac:dyDescent="0.3">
      <c r="A14" s="5" t="s">
        <v>9</v>
      </c>
      <c r="B14">
        <f>COUNT(B9:P9)</f>
        <v>2</v>
      </c>
      <c r="R14" s="6" t="s">
        <v>18</v>
      </c>
    </row>
    <row r="15" spans="1:24" x14ac:dyDescent="0.3">
      <c r="A15" s="5" t="s">
        <v>12</v>
      </c>
      <c r="B15" s="7">
        <f>VLOOKUP(B10,Formula!$B$3:$D$14,2,FALSE)*(1+$B$3)*(1+$D$3)*VLOOKUP(B11,Formula!$N$3:$O$12,2,FALSE)</f>
        <v>274.05377999999996</v>
      </c>
      <c r="C15" s="7">
        <f>VLOOKUP(C10,Formula!$B$3:$D$14,2,FALSE)*(1+$B$3)*(1+$D$3)*VLOOKUP(C11,Formula!$N$3:$O$12,2,FALSE)</f>
        <v>429.99430499999994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R15" s="8">
        <f>SUMPRODUCT($B$9:$P$9,B15:P15)</f>
        <v>704048.08499999996</v>
      </c>
      <c r="T15">
        <f>VLOOKUP(B10,Formula!$B$3:$D$14,2,FALSE)</f>
        <v>63</v>
      </c>
      <c r="U15" s="7">
        <f>1+$B$3</f>
        <v>1.95</v>
      </c>
      <c r="V15" s="7">
        <f>1+$D$3</f>
        <v>1.95</v>
      </c>
      <c r="X15">
        <f>PRODUCT(T15:V15)</f>
        <v>239.55749999999998</v>
      </c>
    </row>
    <row r="16" spans="1:24" x14ac:dyDescent="0.3">
      <c r="A16" s="5" t="s">
        <v>13</v>
      </c>
      <c r="B16" s="7">
        <f>VLOOKUP(B10,Formula!$B$3:$D$14,3,FALSE)*(1+$C$3)*(1+$E$3)*VLOOKUP(B11,Formula!$N$3:$O$12,2,FALSE)</f>
        <v>805.38297840000018</v>
      </c>
      <c r="C16" s="7">
        <f>VLOOKUP(C10,Formula!$B$3:$D$14,3,FALSE)*(1+$C$3)*(1+$E$3)*VLOOKUP(C11,Formula!$N$3:$O$12,2,FALSE)</f>
        <v>1268.1384801000004</v>
      </c>
      <c r="D16" s="7"/>
      <c r="R16" s="8">
        <f>SUMPRODUCT($B$9:$P$9,B16:P16)</f>
        <v>2073521.4585000004</v>
      </c>
      <c r="U16" s="7"/>
      <c r="V16" s="7"/>
    </row>
    <row r="17" spans="1:24" x14ac:dyDescent="0.3">
      <c r="A17" s="5"/>
      <c r="R17" s="6"/>
    </row>
    <row r="18" spans="1:24" x14ac:dyDescent="0.3">
      <c r="A18" s="5" t="s">
        <v>19</v>
      </c>
      <c r="B18" s="14">
        <f>B15*B$9/$R$15</f>
        <v>0.38925435043261281</v>
      </c>
      <c r="C18" s="14">
        <f>C15*C$9/$R$15</f>
        <v>0.61074564956738708</v>
      </c>
      <c r="R18" s="6">
        <f>SUM(B18:P18)</f>
        <v>0.99999999999999989</v>
      </c>
    </row>
    <row r="19" spans="1:24" x14ac:dyDescent="0.3">
      <c r="A19" s="5" t="s">
        <v>20</v>
      </c>
      <c r="B19" s="9">
        <f>B15^(B$18)</f>
        <v>8.8907457222113813</v>
      </c>
      <c r="C19" s="9">
        <f>C15^(C$18)</f>
        <v>40.585966219461334</v>
      </c>
      <c r="R19" s="15">
        <f>PRODUCT(B19:Q19)</f>
        <v>360.83950554749146</v>
      </c>
    </row>
    <row r="20" spans="1:24" x14ac:dyDescent="0.3">
      <c r="A20" s="10" t="s">
        <v>21</v>
      </c>
      <c r="B20" s="11">
        <f>B16^(B$18)</f>
        <v>13.526146743576913</v>
      </c>
      <c r="C20" s="11">
        <f>C16^(C$18)</f>
        <v>78.567973260706538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5">
        <f>PRODUCT(B20:Q20)</f>
        <v>1062.7219356697437</v>
      </c>
    </row>
    <row r="21" spans="1:24" x14ac:dyDescent="0.3">
      <c r="B21" s="1"/>
      <c r="C21" s="1"/>
    </row>
    <row r="22" spans="1:24" x14ac:dyDescent="0.3">
      <c r="A22" s="2"/>
      <c r="B22" s="3" t="s">
        <v>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4"/>
    </row>
    <row r="23" spans="1:24" x14ac:dyDescent="0.3">
      <c r="A23" s="5"/>
      <c r="B23">
        <v>1</v>
      </c>
      <c r="C23">
        <v>2</v>
      </c>
      <c r="D23">
        <v>3</v>
      </c>
      <c r="E23">
        <v>4</v>
      </c>
      <c r="F23">
        <v>5</v>
      </c>
      <c r="G23">
        <v>6</v>
      </c>
      <c r="H23">
        <v>7</v>
      </c>
      <c r="I23">
        <v>8</v>
      </c>
      <c r="J23">
        <v>9</v>
      </c>
      <c r="K23">
        <v>10</v>
      </c>
      <c r="L23">
        <v>11</v>
      </c>
      <c r="M23">
        <v>12</v>
      </c>
      <c r="N23">
        <v>13</v>
      </c>
      <c r="O23">
        <v>14</v>
      </c>
      <c r="P23">
        <v>15</v>
      </c>
      <c r="R23" s="6"/>
    </row>
    <row r="24" spans="1:24" x14ac:dyDescent="0.3">
      <c r="A24" s="5" t="s">
        <v>9</v>
      </c>
      <c r="B24">
        <v>1000</v>
      </c>
      <c r="C24">
        <v>1000</v>
      </c>
      <c r="R24" s="6"/>
    </row>
    <row r="25" spans="1:24" x14ac:dyDescent="0.3">
      <c r="A25" s="5" t="s">
        <v>0</v>
      </c>
      <c r="B25">
        <v>3</v>
      </c>
      <c r="C25">
        <v>4</v>
      </c>
      <c r="R25" s="6"/>
    </row>
    <row r="26" spans="1:24" x14ac:dyDescent="0.3">
      <c r="A26" s="5" t="s">
        <v>10</v>
      </c>
      <c r="B26">
        <v>3</v>
      </c>
      <c r="C26">
        <v>4</v>
      </c>
      <c r="R26" s="6"/>
    </row>
    <row r="27" spans="1:24" x14ac:dyDescent="0.3">
      <c r="A27" s="5" t="s">
        <v>11</v>
      </c>
      <c r="B27">
        <v>5</v>
      </c>
      <c r="C27">
        <v>5</v>
      </c>
      <c r="R27" s="6"/>
    </row>
    <row r="28" spans="1:24" x14ac:dyDescent="0.3">
      <c r="A28" s="5"/>
      <c r="R28" s="6"/>
    </row>
    <row r="29" spans="1:24" x14ac:dyDescent="0.3">
      <c r="A29" s="5" t="s">
        <v>9</v>
      </c>
      <c r="B29">
        <f>COUNT(B24:P24)</f>
        <v>2</v>
      </c>
      <c r="R29" s="6" t="s">
        <v>18</v>
      </c>
    </row>
    <row r="30" spans="1:24" x14ac:dyDescent="0.3">
      <c r="A30" s="5" t="s">
        <v>12</v>
      </c>
      <c r="B30" s="7">
        <f>VLOOKUP(B25,Formula!$F$3:$H$14,2,FALSE)*(1+$F$3)*(1+$H$3)*VLOOKUP(B26,Formula!$N$3:$O$12,2,FALSE)</f>
        <v>606.70731000000001</v>
      </c>
      <c r="C30" s="7">
        <f>VLOOKUP(C25,Formula!$F$3:$H$14,2,FALSE)*(1+$F$3)*(1+$H$3)*VLOOKUP(C26,Formula!$N$3:$O$12,2,FALSE)</f>
        <v>827.90136000000018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R30" s="8">
        <f>SUMPRODUCT($B$24:$P$24,B30:P30)</f>
        <v>1434608.6700000004</v>
      </c>
      <c r="T30">
        <f>VLOOKUP(B25,Formula!$F$3:$H$14,2,FALSE)</f>
        <v>397</v>
      </c>
      <c r="U30" s="7">
        <f>1+$F$3</f>
        <v>1.1000000000000001</v>
      </c>
      <c r="V30" s="7">
        <f>1+$H$3</f>
        <v>1.1000000000000001</v>
      </c>
      <c r="X30">
        <f>PRODUCT(T30:V30)</f>
        <v>480.37000000000006</v>
      </c>
    </row>
    <row r="31" spans="1:24" x14ac:dyDescent="0.3">
      <c r="A31" s="5" t="s">
        <v>13</v>
      </c>
      <c r="B31" s="7">
        <f>VLOOKUP(B25,Formula!$F$3:$H$14,3,FALSE)*(1+$G$3)*(1+$I$3)*VLOOKUP(B11,Formula!$N$3:$O$12,2,FALSE)</f>
        <v>182.71968000000001</v>
      </c>
      <c r="C31" s="7">
        <f>VLOOKUP(C25,Formula!$F$3:$H$14,3,FALSE)*(1+$G$3)*(1+$I$3)*VLOOKUP(C11,Formula!$N$3:$O$12,2,FALSE)</f>
        <v>250.36836000000005</v>
      </c>
      <c r="R31" s="8">
        <f>SUMPRODUCT($B$24:$P$24,B31:P31)</f>
        <v>433088.04000000004</v>
      </c>
    </row>
    <row r="32" spans="1:24" x14ac:dyDescent="0.3">
      <c r="A32" s="5"/>
      <c r="F32" s="14"/>
      <c r="R32" s="6"/>
    </row>
    <row r="33" spans="1:24" x14ac:dyDescent="0.3">
      <c r="A33" s="5" t="s">
        <v>19</v>
      </c>
      <c r="B33" s="14">
        <f>B30*B$24/$R$30</f>
        <v>0.42290787912218591</v>
      </c>
      <c r="C33" s="14">
        <f>C30*C$24/$R$30</f>
        <v>0.57709212087781403</v>
      </c>
      <c r="R33" s="6">
        <f>SUM(B33:P33)</f>
        <v>1</v>
      </c>
    </row>
    <row r="34" spans="1:24" x14ac:dyDescent="0.3">
      <c r="A34" s="5" t="s">
        <v>20</v>
      </c>
      <c r="B34" s="9">
        <f>B30^(B$33)</f>
        <v>15.029476122817771</v>
      </c>
      <c r="C34" s="9">
        <f>C30^(C$33)</f>
        <v>48.299480173126526</v>
      </c>
      <c r="R34" s="15">
        <f>PRODUCT(B34:Q34)</f>
        <v>725.9158840065154</v>
      </c>
    </row>
    <row r="35" spans="1:24" x14ac:dyDescent="0.3">
      <c r="A35" s="10" t="s">
        <v>21</v>
      </c>
      <c r="B35" s="11">
        <f>B31^(B$33)</f>
        <v>9.0474634066974637</v>
      </c>
      <c r="C35" s="11">
        <f>C31^(C$33)</f>
        <v>24.221514720062025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5">
        <f>PRODUCT(B35:Q35)</f>
        <v>219.14326808454513</v>
      </c>
    </row>
    <row r="37" spans="1:24" x14ac:dyDescent="0.3">
      <c r="B37" t="s">
        <v>6</v>
      </c>
    </row>
    <row r="39" spans="1:24" x14ac:dyDescent="0.3">
      <c r="A39" t="s">
        <v>9</v>
      </c>
      <c r="B39">
        <v>1000</v>
      </c>
      <c r="C39">
        <v>1000</v>
      </c>
    </row>
    <row r="40" spans="1:24" x14ac:dyDescent="0.3">
      <c r="A40" t="s">
        <v>0</v>
      </c>
      <c r="B40">
        <v>5</v>
      </c>
      <c r="C40">
        <v>6</v>
      </c>
    </row>
    <row r="41" spans="1:24" x14ac:dyDescent="0.3">
      <c r="A41" t="s">
        <v>10</v>
      </c>
      <c r="B41">
        <v>5</v>
      </c>
      <c r="C41">
        <v>5</v>
      </c>
    </row>
    <row r="42" spans="1:24" x14ac:dyDescent="0.3">
      <c r="A42" t="s">
        <v>11</v>
      </c>
      <c r="B42">
        <v>9</v>
      </c>
      <c r="C42">
        <v>9</v>
      </c>
    </row>
    <row r="44" spans="1:24" x14ac:dyDescent="0.3">
      <c r="A44" s="5" t="s">
        <v>9</v>
      </c>
      <c r="B44">
        <f>COUNT(B39:P39)</f>
        <v>2</v>
      </c>
      <c r="R44" s="6" t="s">
        <v>18</v>
      </c>
    </row>
    <row r="45" spans="1:24" x14ac:dyDescent="0.3">
      <c r="A45" s="5" t="s">
        <v>12</v>
      </c>
      <c r="B45" s="7">
        <f>VLOOKUP(B40,Formula!$J$3:$L$14,2,FALSE)*(1+$J$3)*(1+$L$3)*VLOOKUP(B41,Formula!$N$3:$O$12,2,FALSE)</f>
        <v>1391.5605000000003</v>
      </c>
      <c r="C45" s="7">
        <f>VLOOKUP(C40,Formula!$J$3:$L$14,2,FALSE)*(1+$J$3)*(1+$L$3)*VLOOKUP(C41,Formula!$N$3:$O$12,2,FALSE)</f>
        <v>1642.8847600000001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R45" s="8">
        <f>SUMPRODUCT($B$24:$P$24,B45:P45)</f>
        <v>3034445.2600000007</v>
      </c>
      <c r="T45">
        <f>VLOOKUP(B40,Formula!$J$3:$L$14,2,FALSE)</f>
        <v>825</v>
      </c>
      <c r="U45" s="7">
        <f>1+$F$3</f>
        <v>1.1000000000000001</v>
      </c>
      <c r="V45" s="7">
        <f>1+$H$3</f>
        <v>1.1000000000000001</v>
      </c>
      <c r="X45">
        <f>PRODUCT(T45:V45)</f>
        <v>998.25000000000023</v>
      </c>
    </row>
    <row r="46" spans="1:24" x14ac:dyDescent="0.3">
      <c r="A46" s="5" t="s">
        <v>13</v>
      </c>
      <c r="B46" s="7">
        <f>VLOOKUP(B40,Formula!$J$3:$L$14,3,FALSE)*(1+$K$3)*(1+$M$3)*VLOOKUP(B41,Formula!$N$3:$O$12,2,FALSE)</f>
        <v>261.44470000000001</v>
      </c>
      <c r="C46" s="7">
        <f>VLOOKUP(C40,Formula!$J$3:$L$14,3,FALSE)*(1+$K$3)*(1+$M$3)*VLOOKUP(C41,Formula!$N$3:$O$12,2,FALSE)</f>
        <v>308.67342000000002</v>
      </c>
      <c r="R46" s="8">
        <f>SUMPRODUCT($B$24:$P$24,B46:P46)</f>
        <v>570118.12000000011</v>
      </c>
    </row>
    <row r="47" spans="1:24" x14ac:dyDescent="0.3">
      <c r="A47" s="5"/>
      <c r="R47" s="6"/>
    </row>
    <row r="48" spans="1:24" x14ac:dyDescent="0.3">
      <c r="A48" s="5" t="s">
        <v>19</v>
      </c>
      <c r="B48" s="14">
        <f>B45*B$39/$R$45</f>
        <v>0.45858810450250137</v>
      </c>
      <c r="C48" s="14">
        <f>C45*C$39/$R$45</f>
        <v>0.54141189549749857</v>
      </c>
      <c r="R48" s="6">
        <f>SUM(B48:P48)</f>
        <v>1</v>
      </c>
    </row>
    <row r="49" spans="1:18" x14ac:dyDescent="0.3">
      <c r="A49" s="5" t="s">
        <v>20</v>
      </c>
      <c r="B49" s="9">
        <f>B45^(B$48)</f>
        <v>27.642203898688404</v>
      </c>
      <c r="C49" s="9">
        <f>C45^(C$48)</f>
        <v>55.076703135072492</v>
      </c>
      <c r="R49" s="15">
        <f>PRODUCT(B49:Q49)</f>
        <v>1522.4414581272047</v>
      </c>
    </row>
    <row r="50" spans="1:18" x14ac:dyDescent="0.3">
      <c r="A50" s="10" t="s">
        <v>21</v>
      </c>
      <c r="B50" s="11">
        <f>B46^(B$48)</f>
        <v>12.840491264240759</v>
      </c>
      <c r="C50" s="11">
        <f>C46^(C$48)</f>
        <v>22.276373914283468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5">
        <f>PRODUCT(B50:Q50)</f>
        <v>286.03958464531757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73D81-358D-4130-AB44-40F41E410344}">
  <dimension ref="B2:O14"/>
  <sheetViews>
    <sheetView zoomScale="190" zoomScaleNormal="190" workbookViewId="0">
      <selection activeCell="J3" sqref="J3"/>
    </sheetView>
  </sheetViews>
  <sheetFormatPr defaultRowHeight="14.4" x14ac:dyDescent="0.3"/>
  <cols>
    <col min="2" max="2" width="3.77734375" bestFit="1" customWidth="1"/>
    <col min="3" max="3" width="6.109375" bestFit="1" customWidth="1"/>
    <col min="4" max="4" width="5" bestFit="1" customWidth="1"/>
    <col min="5" max="5" width="5.33203125" customWidth="1"/>
    <col min="6" max="6" width="3.77734375" bestFit="1" customWidth="1"/>
    <col min="7" max="7" width="6.109375" bestFit="1" customWidth="1"/>
    <col min="8" max="8" width="4" bestFit="1" customWidth="1"/>
    <col min="10" max="10" width="3.77734375" bestFit="1" customWidth="1"/>
    <col min="11" max="11" width="6.109375" bestFit="1" customWidth="1"/>
    <col min="12" max="12" width="4" bestFit="1" customWidth="1"/>
    <col min="14" max="14" width="11" bestFit="1" customWidth="1"/>
  </cols>
  <sheetData>
    <row r="2" spans="2:15" x14ac:dyDescent="0.3">
      <c r="C2" t="s">
        <v>4</v>
      </c>
      <c r="G2" t="s">
        <v>5</v>
      </c>
      <c r="K2" t="s">
        <v>6</v>
      </c>
      <c r="N2" t="s">
        <v>7</v>
      </c>
    </row>
    <row r="3" spans="2:15" x14ac:dyDescent="0.3">
      <c r="B3" t="s">
        <v>0</v>
      </c>
      <c r="C3" t="s">
        <v>1</v>
      </c>
      <c r="D3" t="s">
        <v>2</v>
      </c>
      <c r="F3" t="s">
        <v>0</v>
      </c>
      <c r="G3" t="s">
        <v>1</v>
      </c>
      <c r="H3" t="s">
        <v>2</v>
      </c>
      <c r="J3" t="s">
        <v>0</v>
      </c>
      <c r="K3" t="s">
        <v>1</v>
      </c>
      <c r="L3" t="s">
        <v>2</v>
      </c>
      <c r="N3" t="s">
        <v>3</v>
      </c>
    </row>
    <row r="4" spans="2:15" x14ac:dyDescent="0.3">
      <c r="B4">
        <v>1</v>
      </c>
      <c r="C4">
        <v>63</v>
      </c>
      <c r="D4">
        <v>189</v>
      </c>
      <c r="F4">
        <v>1</v>
      </c>
      <c r="G4">
        <f>D4</f>
        <v>189</v>
      </c>
      <c r="H4">
        <f>C4</f>
        <v>63</v>
      </c>
      <c r="J4">
        <v>1</v>
      </c>
      <c r="K4">
        <f>C4*4</f>
        <v>252</v>
      </c>
      <c r="L4">
        <v>47</v>
      </c>
      <c r="N4">
        <v>0</v>
      </c>
      <c r="O4">
        <v>1</v>
      </c>
    </row>
    <row r="5" spans="2:15" x14ac:dyDescent="0.3">
      <c r="B5">
        <v>2</v>
      </c>
      <c r="C5">
        <v>94</v>
      </c>
      <c r="D5">
        <v>283</v>
      </c>
      <c r="F5">
        <v>2</v>
      </c>
      <c r="G5">
        <f t="shared" ref="G5:G14" si="0">D5</f>
        <v>283</v>
      </c>
      <c r="H5">
        <f t="shared" ref="H5:H14" si="1">C5</f>
        <v>94</v>
      </c>
      <c r="J5">
        <v>2</v>
      </c>
      <c r="K5">
        <v>378</v>
      </c>
      <c r="L5">
        <v>71</v>
      </c>
      <c r="N5">
        <v>1</v>
      </c>
      <c r="O5">
        <v>1.1439999999999999</v>
      </c>
    </row>
    <row r="6" spans="2:15" x14ac:dyDescent="0.3">
      <c r="B6">
        <v>3</v>
      </c>
      <c r="C6">
        <v>132</v>
      </c>
      <c r="D6">
        <v>397</v>
      </c>
      <c r="F6">
        <v>3</v>
      </c>
      <c r="G6">
        <f t="shared" si="0"/>
        <v>397</v>
      </c>
      <c r="H6">
        <f t="shared" si="1"/>
        <v>132</v>
      </c>
      <c r="J6">
        <v>3</v>
      </c>
      <c r="K6">
        <v>529</v>
      </c>
      <c r="L6">
        <f t="shared" ref="L6:L13" si="2">C6*3/4</f>
        <v>99</v>
      </c>
      <c r="N6">
        <v>2</v>
      </c>
      <c r="O6">
        <v>1.2030000000000001</v>
      </c>
    </row>
    <row r="7" spans="2:15" x14ac:dyDescent="0.3">
      <c r="B7">
        <v>4</v>
      </c>
      <c r="C7">
        <v>172</v>
      </c>
      <c r="D7">
        <v>516</v>
      </c>
      <c r="F7">
        <v>4</v>
      </c>
      <c r="G7">
        <f t="shared" si="0"/>
        <v>516</v>
      </c>
      <c r="H7">
        <f t="shared" si="1"/>
        <v>172</v>
      </c>
      <c r="J7">
        <v>4</v>
      </c>
      <c r="K7">
        <f t="shared" ref="K7:K14" si="3">C7*4</f>
        <v>688</v>
      </c>
      <c r="L7">
        <f t="shared" si="2"/>
        <v>129</v>
      </c>
      <c r="N7">
        <v>3</v>
      </c>
      <c r="O7">
        <v>1.2629999999999999</v>
      </c>
    </row>
    <row r="8" spans="2:15" x14ac:dyDescent="0.3">
      <c r="B8">
        <v>5</v>
      </c>
      <c r="C8">
        <v>206</v>
      </c>
      <c r="D8">
        <v>619</v>
      </c>
      <c r="F8">
        <v>5</v>
      </c>
      <c r="G8">
        <f t="shared" si="0"/>
        <v>619</v>
      </c>
      <c r="H8">
        <f t="shared" si="1"/>
        <v>206</v>
      </c>
      <c r="J8">
        <v>5</v>
      </c>
      <c r="K8">
        <v>825</v>
      </c>
      <c r="L8">
        <v>155</v>
      </c>
      <c r="N8">
        <v>4</v>
      </c>
      <c r="O8">
        <v>1.3260000000000001</v>
      </c>
    </row>
    <row r="9" spans="2:15" x14ac:dyDescent="0.3">
      <c r="B9">
        <v>6</v>
      </c>
      <c r="C9">
        <v>243</v>
      </c>
      <c r="D9">
        <v>730</v>
      </c>
      <c r="F9">
        <v>6</v>
      </c>
      <c r="G9">
        <f t="shared" si="0"/>
        <v>730</v>
      </c>
      <c r="H9">
        <f t="shared" si="1"/>
        <v>243</v>
      </c>
      <c r="J9">
        <v>6</v>
      </c>
      <c r="K9">
        <v>974</v>
      </c>
      <c r="L9">
        <v>183</v>
      </c>
      <c r="N9">
        <v>5</v>
      </c>
      <c r="O9">
        <v>1.3939999999999999</v>
      </c>
    </row>
    <row r="10" spans="2:15" x14ac:dyDescent="0.3">
      <c r="B10">
        <v>7</v>
      </c>
      <c r="C10">
        <v>287</v>
      </c>
      <c r="D10">
        <v>862</v>
      </c>
      <c r="F10">
        <v>7</v>
      </c>
      <c r="G10">
        <f t="shared" si="0"/>
        <v>862</v>
      </c>
      <c r="H10">
        <f t="shared" si="1"/>
        <v>287</v>
      </c>
      <c r="J10">
        <v>7</v>
      </c>
      <c r="K10">
        <v>1149</v>
      </c>
      <c r="L10">
        <v>215</v>
      </c>
      <c r="N10">
        <v>6</v>
      </c>
    </row>
    <row r="11" spans="2:15" x14ac:dyDescent="0.3">
      <c r="B11">
        <v>8</v>
      </c>
      <c r="C11">
        <v>339</v>
      </c>
      <c r="D11">
        <v>1017</v>
      </c>
      <c r="F11">
        <v>8</v>
      </c>
      <c r="G11">
        <f t="shared" si="0"/>
        <v>1017</v>
      </c>
      <c r="H11">
        <f t="shared" si="1"/>
        <v>339</v>
      </c>
      <c r="J11">
        <v>8</v>
      </c>
      <c r="K11">
        <f t="shared" si="3"/>
        <v>1356</v>
      </c>
      <c r="L11">
        <v>254</v>
      </c>
      <c r="N11">
        <v>7</v>
      </c>
    </row>
    <row r="12" spans="2:15" x14ac:dyDescent="0.3">
      <c r="B12">
        <v>9</v>
      </c>
      <c r="C12">
        <v>400</v>
      </c>
      <c r="D12">
        <v>1200</v>
      </c>
      <c r="F12">
        <v>9</v>
      </c>
      <c r="G12">
        <f t="shared" si="0"/>
        <v>1200</v>
      </c>
      <c r="H12">
        <f t="shared" si="1"/>
        <v>400</v>
      </c>
      <c r="J12">
        <v>9</v>
      </c>
      <c r="K12">
        <f t="shared" si="3"/>
        <v>1600</v>
      </c>
      <c r="L12">
        <f t="shared" si="2"/>
        <v>300</v>
      </c>
      <c r="N12">
        <v>8</v>
      </c>
    </row>
    <row r="13" spans="2:15" x14ac:dyDescent="0.3">
      <c r="B13">
        <v>10</v>
      </c>
      <c r="C13">
        <v>472</v>
      </c>
      <c r="D13">
        <v>1416</v>
      </c>
      <c r="F13">
        <v>10</v>
      </c>
      <c r="G13">
        <f t="shared" si="0"/>
        <v>1416</v>
      </c>
      <c r="H13">
        <f t="shared" si="1"/>
        <v>472</v>
      </c>
      <c r="J13">
        <v>10</v>
      </c>
      <c r="K13">
        <f t="shared" si="3"/>
        <v>1888</v>
      </c>
      <c r="L13">
        <f t="shared" si="2"/>
        <v>354</v>
      </c>
    </row>
    <row r="14" spans="2:15" x14ac:dyDescent="0.3">
      <c r="B14">
        <v>11</v>
      </c>
      <c r="C14">
        <v>658</v>
      </c>
      <c r="D14">
        <v>1973</v>
      </c>
      <c r="F14">
        <v>11</v>
      </c>
      <c r="G14">
        <f t="shared" si="0"/>
        <v>1973</v>
      </c>
      <c r="H14">
        <f t="shared" si="1"/>
        <v>658</v>
      </c>
      <c r="J14">
        <v>11</v>
      </c>
      <c r="K14">
        <f t="shared" si="3"/>
        <v>2632</v>
      </c>
      <c r="L14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Ropalkar</dc:creator>
  <cp:lastModifiedBy>Abhishek Ropalkar</cp:lastModifiedBy>
  <dcterms:created xsi:type="dcterms:W3CDTF">2015-06-05T18:17:20Z</dcterms:created>
  <dcterms:modified xsi:type="dcterms:W3CDTF">2026-06-10T07:38:03Z</dcterms:modified>
</cp:coreProperties>
</file>